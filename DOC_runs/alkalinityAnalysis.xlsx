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bob.hall/Dropbox/DOC_expts/doc_uptake/DOC_runs/"/>
    </mc:Choice>
  </mc:AlternateContent>
  <xr:revisionPtr revIDLastSave="0" documentId="13_ncr:1_{F07F11A2-50CA-E74C-8727-D3641FC8972A}" xr6:coauthVersionLast="47" xr6:coauthVersionMax="47" xr10:uidLastSave="{00000000-0000-0000-0000-000000000000}"/>
  <bookViews>
    <workbookView xWindow="55280" yWindow="6620" windowWidth="21960" windowHeight="18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K31" i="1"/>
  <c r="G30" i="1"/>
  <c r="G29" i="1"/>
  <c r="J29" i="1" s="1"/>
  <c r="G28" i="1"/>
  <c r="J28" i="1" s="1"/>
  <c r="G27" i="1"/>
  <c r="J27" i="1" s="1"/>
  <c r="G26" i="1"/>
  <c r="G25" i="1"/>
  <c r="G24" i="1"/>
  <c r="J24" i="1" s="1"/>
  <c r="G23" i="1"/>
  <c r="J23" i="1" s="1"/>
  <c r="J25" i="1"/>
  <c r="J26" i="1"/>
  <c r="J30" i="1"/>
  <c r="G22" i="1"/>
  <c r="J22" i="1" s="1"/>
  <c r="G21" i="1"/>
  <c r="G20" i="1"/>
  <c r="J19" i="1"/>
  <c r="J20" i="1"/>
  <c r="J21" i="1"/>
  <c r="G19" i="1"/>
  <c r="G17" i="1"/>
  <c r="J17" i="1" s="1"/>
  <c r="G18" i="1"/>
  <c r="J18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3" i="1"/>
  <c r="J3" i="1" s="1"/>
</calcChain>
</file>

<file path=xl/sharedStrings.xml><?xml version="1.0" encoding="utf-8"?>
<sst xmlns="http://schemas.openxmlformats.org/spreadsheetml/2006/main" count="37" uniqueCount="37">
  <si>
    <t>V start (mL)</t>
  </si>
  <si>
    <t>V end (mL)</t>
  </si>
  <si>
    <t>Sample</t>
  </si>
  <si>
    <t>C acid (meq/L)</t>
  </si>
  <si>
    <t>D2016</t>
  </si>
  <si>
    <t>V acid (L)</t>
  </si>
  <si>
    <t>V sample (L)</t>
  </si>
  <si>
    <t>D1276</t>
  </si>
  <si>
    <t>D1323</t>
  </si>
  <si>
    <t>D1212</t>
  </si>
  <si>
    <t>D2306</t>
  </si>
  <si>
    <t>D1322</t>
  </si>
  <si>
    <t>D1297</t>
  </si>
  <si>
    <t>D1310</t>
  </si>
  <si>
    <t>D2333</t>
  </si>
  <si>
    <t>D1312</t>
  </si>
  <si>
    <t>D2216</t>
  </si>
  <si>
    <t>D1198</t>
  </si>
  <si>
    <t>D1203</t>
  </si>
  <si>
    <t>D2294</t>
  </si>
  <si>
    <t>D2102</t>
  </si>
  <si>
    <t>D1245</t>
  </si>
  <si>
    <t>pH start</t>
  </si>
  <si>
    <t>pH end</t>
  </si>
  <si>
    <t>Alkalinity (meq/L)</t>
  </si>
  <si>
    <t>D1287</t>
  </si>
  <si>
    <t>D1320</t>
  </si>
  <si>
    <t>D1210</t>
  </si>
  <si>
    <t>D1274</t>
  </si>
  <si>
    <t>D1314</t>
  </si>
  <si>
    <t>D1332</t>
  </si>
  <si>
    <t>D1305</t>
  </si>
  <si>
    <t>D2107</t>
  </si>
  <si>
    <t>D2204</t>
  </si>
  <si>
    <t>D2222</t>
  </si>
  <si>
    <t>D1216</t>
  </si>
  <si>
    <t>K113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</si>
</sst>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2"/>
  <sheetViews>
    <sheetView tabSelected="1" topLeftCell="B1" workbookViewId="0">
      <selection activeCell="K33" sqref="K33"/>
    </sheetView>
  </sheetViews>
  <sheetFormatPr baseColWidth="10" defaultColWidth="8.83203125" defaultRowHeight="15" x14ac:dyDescent="0.2"/>
  <cols>
    <col min="3" max="3" width="10.33203125" bestFit="1" customWidth="1"/>
    <col min="4" max="4" width="10.33203125" customWidth="1"/>
    <col min="5" max="5" width="9.5" bestFit="1" customWidth="1"/>
    <col min="6" max="6" width="9.5" customWidth="1"/>
    <col min="7" max="7" width="9.83203125" bestFit="1" customWidth="1"/>
    <col min="8" max="8" width="12.6640625" bestFit="1" customWidth="1"/>
    <col min="9" max="9" width="12.33203125" bestFit="1" customWidth="1"/>
    <col min="10" max="10" width="15.1640625" bestFit="1" customWidth="1"/>
  </cols>
  <sheetData>
    <row r="2" spans="2:10" x14ac:dyDescent="0.2">
      <c r="B2" t="s">
        <v>2</v>
      </c>
      <c r="C2" t="s">
        <v>0</v>
      </c>
      <c r="D2" t="s">
        <v>22</v>
      </c>
      <c r="E2" t="s">
        <v>1</v>
      </c>
      <c r="F2" t="s">
        <v>23</v>
      </c>
      <c r="G2" t="s">
        <v>5</v>
      </c>
      <c r="H2" t="s">
        <v>3</v>
      </c>
      <c r="I2" t="s">
        <v>6</v>
      </c>
      <c r="J2" t="s">
        <v>24</v>
      </c>
    </row>
    <row r="3" spans="2:10" x14ac:dyDescent="0.2">
      <c r="B3" t="s">
        <v>4</v>
      </c>
      <c r="C3">
        <v>2.4</v>
      </c>
      <c r="E3">
        <v>15.9</v>
      </c>
      <c r="G3">
        <f>(E3-C3)/1000</f>
        <v>1.35E-2</v>
      </c>
      <c r="H3">
        <v>20</v>
      </c>
      <c r="I3">
        <v>0.05</v>
      </c>
      <c r="J3">
        <f>H3*G3/I3</f>
        <v>5.4</v>
      </c>
    </row>
    <row r="4" spans="2:10" x14ac:dyDescent="0.2">
      <c r="B4" t="s">
        <v>7</v>
      </c>
      <c r="C4">
        <v>16</v>
      </c>
      <c r="D4">
        <v>8.0399999999999991</v>
      </c>
      <c r="E4">
        <v>29.5</v>
      </c>
      <c r="F4">
        <v>4.51</v>
      </c>
      <c r="G4">
        <f t="shared" ref="G4:G30" si="0">(E4-C4)/1000</f>
        <v>1.35E-2</v>
      </c>
      <c r="H4">
        <v>20</v>
      </c>
      <c r="I4">
        <v>0.05</v>
      </c>
      <c r="J4">
        <f t="shared" ref="J4:J30" si="1">H4*G4/I4</f>
        <v>5.4</v>
      </c>
    </row>
    <row r="5" spans="2:10" x14ac:dyDescent="0.2">
      <c r="B5" t="s">
        <v>8</v>
      </c>
      <c r="C5">
        <v>29.5</v>
      </c>
      <c r="D5">
        <v>8.0299999999999994</v>
      </c>
      <c r="E5">
        <v>43.2</v>
      </c>
      <c r="F5">
        <v>4.53</v>
      </c>
      <c r="G5">
        <f t="shared" si="0"/>
        <v>1.3700000000000002E-2</v>
      </c>
      <c r="H5">
        <v>20</v>
      </c>
      <c r="I5">
        <v>0.05</v>
      </c>
      <c r="J5">
        <f t="shared" si="1"/>
        <v>5.48</v>
      </c>
    </row>
    <row r="6" spans="2:10" x14ac:dyDescent="0.2">
      <c r="B6" t="s">
        <v>9</v>
      </c>
      <c r="C6">
        <v>2.2000000000000002</v>
      </c>
      <c r="D6">
        <v>8.0399999999999991</v>
      </c>
      <c r="E6">
        <v>15.7</v>
      </c>
      <c r="F6">
        <v>4.55</v>
      </c>
      <c r="G6">
        <f t="shared" si="0"/>
        <v>1.35E-2</v>
      </c>
      <c r="H6">
        <v>20</v>
      </c>
      <c r="I6">
        <v>0.05</v>
      </c>
      <c r="J6">
        <f t="shared" si="1"/>
        <v>5.4</v>
      </c>
    </row>
    <row r="7" spans="2:10" x14ac:dyDescent="0.2">
      <c r="B7" t="s">
        <v>10</v>
      </c>
      <c r="C7">
        <v>15.7</v>
      </c>
      <c r="D7">
        <v>8.14</v>
      </c>
      <c r="E7">
        <v>29.9</v>
      </c>
      <c r="F7">
        <v>4.55</v>
      </c>
      <c r="G7">
        <f t="shared" si="0"/>
        <v>1.4199999999999999E-2</v>
      </c>
      <c r="H7">
        <v>20</v>
      </c>
      <c r="I7">
        <v>0.05</v>
      </c>
      <c r="J7">
        <f t="shared" si="1"/>
        <v>5.6799999999999988</v>
      </c>
    </row>
    <row r="8" spans="2:10" x14ac:dyDescent="0.2">
      <c r="B8" t="s">
        <v>11</v>
      </c>
      <c r="C8">
        <v>29.9</v>
      </c>
      <c r="D8">
        <v>8.01</v>
      </c>
      <c r="E8">
        <v>43.5</v>
      </c>
      <c r="F8">
        <v>4.5</v>
      </c>
      <c r="G8">
        <f t="shared" si="0"/>
        <v>1.3600000000000001E-2</v>
      </c>
      <c r="H8">
        <v>20</v>
      </c>
      <c r="I8">
        <v>0.05</v>
      </c>
      <c r="J8">
        <f t="shared" si="1"/>
        <v>5.44</v>
      </c>
    </row>
    <row r="9" spans="2:10" x14ac:dyDescent="0.2">
      <c r="B9" t="s">
        <v>12</v>
      </c>
      <c r="C9">
        <v>2.5</v>
      </c>
      <c r="D9">
        <v>8.01</v>
      </c>
      <c r="E9">
        <v>15.9</v>
      </c>
      <c r="F9">
        <v>4.5</v>
      </c>
      <c r="G9">
        <f t="shared" si="0"/>
        <v>1.34E-2</v>
      </c>
      <c r="H9">
        <v>20</v>
      </c>
      <c r="I9">
        <v>0.05</v>
      </c>
      <c r="J9">
        <f t="shared" si="1"/>
        <v>5.36</v>
      </c>
    </row>
    <row r="10" spans="2:10" x14ac:dyDescent="0.2">
      <c r="B10" t="s">
        <v>13</v>
      </c>
      <c r="C10">
        <v>16</v>
      </c>
      <c r="D10">
        <v>8.01</v>
      </c>
      <c r="E10">
        <v>29.1</v>
      </c>
      <c r="F10">
        <v>4.54</v>
      </c>
      <c r="G10">
        <f t="shared" si="0"/>
        <v>1.3100000000000002E-2</v>
      </c>
      <c r="H10">
        <v>20</v>
      </c>
      <c r="I10">
        <v>0.05</v>
      </c>
      <c r="J10">
        <f t="shared" si="1"/>
        <v>5.2400000000000011</v>
      </c>
    </row>
    <row r="11" spans="2:10" x14ac:dyDescent="0.2">
      <c r="B11" t="s">
        <v>14</v>
      </c>
      <c r="C11">
        <v>33.700000000000003</v>
      </c>
      <c r="D11">
        <v>8.09</v>
      </c>
      <c r="E11">
        <v>47.3</v>
      </c>
      <c r="F11">
        <v>4.54</v>
      </c>
      <c r="G11">
        <f t="shared" si="0"/>
        <v>1.3599999999999994E-2</v>
      </c>
      <c r="H11">
        <v>20</v>
      </c>
      <c r="I11">
        <v>0.05</v>
      </c>
      <c r="J11">
        <f t="shared" si="1"/>
        <v>5.4399999999999977</v>
      </c>
    </row>
    <row r="12" spans="2:10" x14ac:dyDescent="0.2">
      <c r="B12" t="s">
        <v>15</v>
      </c>
      <c r="C12">
        <v>3.7</v>
      </c>
      <c r="D12">
        <v>8.0399999999999991</v>
      </c>
      <c r="E12">
        <v>17.2</v>
      </c>
      <c r="F12">
        <v>4.49</v>
      </c>
      <c r="G12">
        <f t="shared" si="0"/>
        <v>1.35E-2</v>
      </c>
      <c r="H12">
        <v>20</v>
      </c>
      <c r="I12">
        <v>0.05</v>
      </c>
      <c r="J12">
        <f t="shared" si="1"/>
        <v>5.4</v>
      </c>
    </row>
    <row r="13" spans="2:10" x14ac:dyDescent="0.2">
      <c r="B13" t="s">
        <v>16</v>
      </c>
      <c r="C13">
        <v>17.2</v>
      </c>
      <c r="D13">
        <v>8.02</v>
      </c>
      <c r="E13">
        <v>30.1</v>
      </c>
      <c r="F13">
        <v>4.5199999999999996</v>
      </c>
      <c r="G13">
        <f t="shared" si="0"/>
        <v>1.2900000000000002E-2</v>
      </c>
      <c r="H13">
        <v>20</v>
      </c>
      <c r="I13">
        <v>0.05</v>
      </c>
      <c r="J13">
        <f t="shared" si="1"/>
        <v>5.16</v>
      </c>
    </row>
    <row r="14" spans="2:10" x14ac:dyDescent="0.2">
      <c r="B14" t="s">
        <v>17</v>
      </c>
      <c r="C14">
        <v>30.1</v>
      </c>
      <c r="D14">
        <v>8.1</v>
      </c>
      <c r="E14">
        <v>43.2</v>
      </c>
      <c r="F14">
        <v>4.5</v>
      </c>
      <c r="G14">
        <f t="shared" si="0"/>
        <v>1.3100000000000002E-2</v>
      </c>
      <c r="H14">
        <v>20</v>
      </c>
      <c r="I14">
        <v>0.05</v>
      </c>
      <c r="J14">
        <f t="shared" si="1"/>
        <v>5.2400000000000011</v>
      </c>
    </row>
    <row r="15" spans="2:10" x14ac:dyDescent="0.2">
      <c r="B15" t="s">
        <v>18</v>
      </c>
      <c r="C15">
        <v>1.9</v>
      </c>
      <c r="D15">
        <v>8.0299999999999994</v>
      </c>
      <c r="E15">
        <v>14.5</v>
      </c>
      <c r="F15">
        <v>4.53</v>
      </c>
      <c r="G15">
        <f t="shared" si="0"/>
        <v>1.26E-2</v>
      </c>
      <c r="H15">
        <v>20</v>
      </c>
      <c r="I15">
        <v>0.05</v>
      </c>
      <c r="J15">
        <f t="shared" si="1"/>
        <v>5.04</v>
      </c>
    </row>
    <row r="16" spans="2:10" x14ac:dyDescent="0.2">
      <c r="B16" t="s">
        <v>19</v>
      </c>
      <c r="C16">
        <v>14.5</v>
      </c>
      <c r="D16">
        <v>8.0399999999999991</v>
      </c>
      <c r="E16">
        <v>27.6</v>
      </c>
      <c r="F16">
        <v>4.5</v>
      </c>
      <c r="G16">
        <f t="shared" si="0"/>
        <v>1.3100000000000002E-2</v>
      </c>
      <c r="H16">
        <v>20</v>
      </c>
      <c r="I16">
        <v>0.05</v>
      </c>
      <c r="J16">
        <f t="shared" si="1"/>
        <v>5.2400000000000011</v>
      </c>
    </row>
    <row r="17" spans="2:11" x14ac:dyDescent="0.2">
      <c r="B17" t="s">
        <v>20</v>
      </c>
      <c r="C17">
        <v>27.6</v>
      </c>
      <c r="D17">
        <v>8.0399999999999991</v>
      </c>
      <c r="E17">
        <v>40.6</v>
      </c>
      <c r="F17">
        <v>4.5</v>
      </c>
      <c r="G17">
        <f t="shared" si="0"/>
        <v>1.2999999999999999E-2</v>
      </c>
      <c r="H17">
        <v>20</v>
      </c>
      <c r="I17">
        <v>0.05</v>
      </c>
      <c r="J17">
        <f t="shared" si="1"/>
        <v>5.2</v>
      </c>
    </row>
    <row r="18" spans="2:11" x14ac:dyDescent="0.2">
      <c r="B18" t="s">
        <v>21</v>
      </c>
      <c r="C18">
        <v>27.6</v>
      </c>
      <c r="D18">
        <v>8.1199999999999992</v>
      </c>
      <c r="E18">
        <v>40.200000000000003</v>
      </c>
      <c r="F18">
        <v>4.55</v>
      </c>
      <c r="G18">
        <f t="shared" si="0"/>
        <v>1.2600000000000002E-2</v>
      </c>
      <c r="H18">
        <v>20</v>
      </c>
      <c r="I18">
        <v>0.05</v>
      </c>
      <c r="J18">
        <f t="shared" si="1"/>
        <v>5.0400000000000009</v>
      </c>
    </row>
    <row r="19" spans="2:11" x14ac:dyDescent="0.2">
      <c r="B19" t="s">
        <v>25</v>
      </c>
      <c r="C19">
        <v>4.7</v>
      </c>
      <c r="D19">
        <v>8.08</v>
      </c>
      <c r="E19">
        <v>9.5</v>
      </c>
      <c r="F19">
        <v>4.4800000000000004</v>
      </c>
      <c r="G19">
        <f t="shared" si="0"/>
        <v>4.7999999999999996E-3</v>
      </c>
      <c r="H19">
        <v>20</v>
      </c>
      <c r="I19">
        <v>0.05</v>
      </c>
      <c r="J19">
        <f t="shared" si="1"/>
        <v>1.9199999999999997</v>
      </c>
    </row>
    <row r="20" spans="2:11" x14ac:dyDescent="0.2">
      <c r="B20" t="s">
        <v>26</v>
      </c>
      <c r="C20">
        <v>9.5</v>
      </c>
      <c r="D20">
        <v>8.1199999999999992</v>
      </c>
      <c r="E20">
        <v>14.3</v>
      </c>
      <c r="F20">
        <v>4.46</v>
      </c>
      <c r="G20">
        <f t="shared" si="0"/>
        <v>4.8000000000000004E-3</v>
      </c>
      <c r="H20">
        <v>20</v>
      </c>
      <c r="I20">
        <v>0.05</v>
      </c>
      <c r="J20">
        <f t="shared" si="1"/>
        <v>1.92</v>
      </c>
    </row>
    <row r="21" spans="2:11" x14ac:dyDescent="0.2">
      <c r="B21" t="s">
        <v>27</v>
      </c>
      <c r="C21">
        <v>14.3</v>
      </c>
      <c r="D21">
        <v>8.08</v>
      </c>
      <c r="E21">
        <v>19</v>
      </c>
      <c r="F21">
        <v>4.51</v>
      </c>
      <c r="G21">
        <f t="shared" si="0"/>
        <v>4.6999999999999993E-3</v>
      </c>
      <c r="H21">
        <v>20</v>
      </c>
      <c r="I21">
        <v>0.05</v>
      </c>
      <c r="J21">
        <f t="shared" si="1"/>
        <v>1.8799999999999997</v>
      </c>
    </row>
    <row r="22" spans="2:11" x14ac:dyDescent="0.2">
      <c r="B22" t="s">
        <v>28</v>
      </c>
      <c r="C22">
        <v>19</v>
      </c>
      <c r="D22">
        <v>8.1</v>
      </c>
      <c r="E22">
        <v>23.7</v>
      </c>
      <c r="F22">
        <v>4.5</v>
      </c>
      <c r="G22">
        <f t="shared" si="0"/>
        <v>4.6999999999999993E-3</v>
      </c>
      <c r="H22">
        <v>20</v>
      </c>
      <c r="I22">
        <v>0.05</v>
      </c>
      <c r="J22">
        <f t="shared" si="1"/>
        <v>1.8799999999999997</v>
      </c>
    </row>
    <row r="23" spans="2:11" x14ac:dyDescent="0.2">
      <c r="B23" t="s">
        <v>29</v>
      </c>
      <c r="C23">
        <v>1.2</v>
      </c>
      <c r="D23">
        <v>8.08</v>
      </c>
      <c r="E23">
        <v>14.6</v>
      </c>
      <c r="F23">
        <v>4.55</v>
      </c>
      <c r="G23">
        <f t="shared" si="0"/>
        <v>1.34E-2</v>
      </c>
      <c r="H23">
        <v>20</v>
      </c>
      <c r="I23">
        <v>0.05</v>
      </c>
      <c r="J23">
        <f t="shared" si="1"/>
        <v>5.36</v>
      </c>
    </row>
    <row r="24" spans="2:11" x14ac:dyDescent="0.2">
      <c r="B24" t="s">
        <v>30</v>
      </c>
      <c r="C24">
        <v>14.6</v>
      </c>
      <c r="D24">
        <v>8.14</v>
      </c>
      <c r="E24">
        <v>28</v>
      </c>
      <c r="F24">
        <v>4.54</v>
      </c>
      <c r="G24">
        <f t="shared" si="0"/>
        <v>1.34E-2</v>
      </c>
      <c r="H24">
        <v>20</v>
      </c>
      <c r="I24">
        <v>0.05</v>
      </c>
      <c r="J24">
        <f t="shared" si="1"/>
        <v>5.36</v>
      </c>
    </row>
    <row r="25" spans="2:11" x14ac:dyDescent="0.2">
      <c r="B25" t="s">
        <v>31</v>
      </c>
      <c r="C25">
        <v>28</v>
      </c>
      <c r="D25">
        <v>8.02</v>
      </c>
      <c r="E25">
        <v>41.2</v>
      </c>
      <c r="F25">
        <v>4.54</v>
      </c>
      <c r="G25">
        <f t="shared" si="0"/>
        <v>1.3200000000000003E-2</v>
      </c>
      <c r="H25">
        <v>20</v>
      </c>
      <c r="I25">
        <v>0.05</v>
      </c>
      <c r="J25">
        <f t="shared" si="1"/>
        <v>5.2800000000000011</v>
      </c>
    </row>
    <row r="26" spans="2:11" x14ac:dyDescent="0.2">
      <c r="B26" t="s">
        <v>32</v>
      </c>
      <c r="C26">
        <v>1.5</v>
      </c>
      <c r="D26">
        <v>8.08</v>
      </c>
      <c r="E26">
        <v>14.2</v>
      </c>
      <c r="F26">
        <v>4.5199999999999996</v>
      </c>
      <c r="G26">
        <f t="shared" si="0"/>
        <v>1.2699999999999999E-2</v>
      </c>
      <c r="H26">
        <v>20</v>
      </c>
      <c r="I26">
        <v>0.05</v>
      </c>
      <c r="J26">
        <f t="shared" si="1"/>
        <v>5.08</v>
      </c>
    </row>
    <row r="27" spans="2:11" x14ac:dyDescent="0.2">
      <c r="B27" t="s">
        <v>33</v>
      </c>
      <c r="C27">
        <v>14.2</v>
      </c>
      <c r="D27">
        <v>8.0399999999999991</v>
      </c>
      <c r="E27">
        <v>27.7</v>
      </c>
      <c r="F27">
        <v>4.5199999999999996</v>
      </c>
      <c r="G27">
        <f t="shared" si="0"/>
        <v>1.35E-2</v>
      </c>
      <c r="H27">
        <v>20</v>
      </c>
      <c r="I27">
        <v>0.05</v>
      </c>
      <c r="J27">
        <f t="shared" si="1"/>
        <v>5.4</v>
      </c>
    </row>
    <row r="28" spans="2:11" x14ac:dyDescent="0.2">
      <c r="B28" t="s">
        <v>34</v>
      </c>
      <c r="C28">
        <v>27.7</v>
      </c>
      <c r="D28">
        <v>8.01</v>
      </c>
      <c r="E28">
        <v>40.9</v>
      </c>
      <c r="F28">
        <v>4.54</v>
      </c>
      <c r="G28">
        <f t="shared" si="0"/>
        <v>1.32E-2</v>
      </c>
      <c r="H28">
        <v>20</v>
      </c>
      <c r="I28">
        <v>0.05</v>
      </c>
      <c r="J28">
        <f t="shared" si="1"/>
        <v>5.28</v>
      </c>
    </row>
    <row r="29" spans="2:11" x14ac:dyDescent="0.2">
      <c r="B29" t="s">
        <v>35</v>
      </c>
      <c r="C29">
        <v>0.4</v>
      </c>
      <c r="D29">
        <v>8.0399999999999991</v>
      </c>
      <c r="E29">
        <v>13.5</v>
      </c>
      <c r="F29">
        <v>4.53</v>
      </c>
      <c r="G29">
        <f t="shared" si="0"/>
        <v>1.3099999999999999E-2</v>
      </c>
      <c r="H29">
        <v>20</v>
      </c>
      <c r="I29">
        <v>0.05</v>
      </c>
      <c r="J29">
        <f t="shared" si="1"/>
        <v>5.2399999999999984</v>
      </c>
    </row>
    <row r="30" spans="2:11" x14ac:dyDescent="0.2">
      <c r="B30" t="s">
        <v>36</v>
      </c>
      <c r="C30">
        <v>13.5</v>
      </c>
      <c r="D30">
        <v>8.09</v>
      </c>
      <c r="E30">
        <v>26.4</v>
      </c>
      <c r="F30">
        <v>4.53</v>
      </c>
      <c r="G30">
        <f t="shared" si="0"/>
        <v>1.2899999999999998E-2</v>
      </c>
      <c r="H30">
        <v>20</v>
      </c>
      <c r="I30">
        <v>0.05</v>
      </c>
      <c r="J30">
        <f t="shared" si="1"/>
        <v>5.1599999999999984</v>
      </c>
    </row>
    <row r="31" spans="2:11" x14ac:dyDescent="0.2">
      <c r="K31">
        <f>AVERAGE(J3:J18,J23:J30)</f>
        <v>5.3049999999999997</v>
      </c>
    </row>
    <row r="32" spans="2:11" x14ac:dyDescent="0.2">
      <c r="K32">
        <f>STDEV(J3:J18,J23:J30)</f>
        <v>0.15096789177777517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Martin</dc:creator>
  <cp:lastModifiedBy>Bob Hall</cp:lastModifiedBy>
  <dcterms:created xsi:type="dcterms:W3CDTF">2015-06-05T18:17:20Z</dcterms:created>
  <dcterms:modified xsi:type="dcterms:W3CDTF">2025-09-23T16:18:08Z</dcterms:modified>
</cp:coreProperties>
</file>